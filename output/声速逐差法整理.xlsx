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abe6290f645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Data" sheetId="1" r:id="R8f06d75cbdec4acb"/>
    <x:sheet xmlns:r="http://schemas.openxmlformats.org/officeDocument/2006/relationships" name="DifferenceCalc" sheetId="2" r:id="R85ac3c5c4a1b4a04"/>
    <x:sheet xmlns:r="http://schemas.openxmlformats.org/officeDocument/2006/relationships" name="Summary" sheetId="3" r:id="Rb1de2b857cf843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%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2F75B5"/>
      </x:patternFill>
    </x:fill>
    <x:fill>
      <x:patternFill patternType="solid">
        <x:fgColor rgb="5B9BD5"/>
      </x:patternFill>
    </x:fill>
    <x:fill>
      <x:patternFill patternType="solid">
        <x:fgColor rgb="548235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200" fontId="2" fillId="4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7db125be4416b" /><Relationship Type="http://schemas.openxmlformats.org/officeDocument/2006/relationships/theme" Target="/xl/theme/theme1.xml" Id="R76d6f0e2eef743fd" /><Relationship Type="http://schemas.openxmlformats.org/officeDocument/2006/relationships/sharedStrings" Target="/xl/sharedStrings.xml" Id="Rf48c2189b08c48f6" /><Relationship Type="http://schemas.openxmlformats.org/officeDocument/2006/relationships/worksheet" Target="/xl/worksheets/sheet1.xml" Id="R8f06d75cbdec4acb" /><Relationship Type="http://schemas.openxmlformats.org/officeDocument/2006/relationships/worksheet" Target="/xl/worksheets/sheet2.xml" Id="R85ac3c5c4a1b4a04" /><Relationship Type="http://schemas.openxmlformats.org/officeDocument/2006/relationships/worksheet" Target="/xl/worksheets/sheet3.xml" Id="Rb1de2b857cf843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84000015258789" hidden="0" customWidth="1"/>
    <x:col min="2" max="2" width="8.079999923706055" hidden="0" customWidth="1"/>
    <x:col min="3" max="3" width="13.460000038146973" hidden="0" customWidth="1"/>
    <x:col min="4" max="4" width="13.460000038146973" hidden="0" customWidth="1"/>
    <x:col min="5" max="5" width="13.460000038146973" hidden="0" customWidth="1"/>
    <x:col min="6" max="6" width="18.84000015258789" hidden="0" customWidth="1"/>
    <x:col min="7" max="7" width="13.460000038146973" hidden="0" customWidth="1"/>
    <x:col min="8" max="8" width="13.460000038146973" hidden="0" customWidth="1"/>
  </x:cols>
  <x:sheetData>
    <x:row r="1">
      <x:c r="A1" s="6" t="str">
        <x:v>方法</x:v>
      </x:c>
      <x:c r="B1" s="6" t="str">
        <x:v>次数</x:v>
      </x:c>
      <x:c r="C1" s="6" t="str">
        <x:v>l_i (mm)</x:v>
      </x:c>
      <x:c r="D1" s="6" t="str">
        <x:v>t_i (μs)</x:v>
      </x:c>
      <x:c r="E1" s="6" t="str">
        <x:v>频率 f (kHz)</x:v>
      </x:c>
      <x:c r="F1" s="6" t="str">
        <x:v>备注</x:v>
      </x:c>
      <x:c r="G1" s="6" t="str">
        <x:v>数据来源</x:v>
      </x:c>
      <x:c r="H1" s="6" t="str">
        <x:v>说明</x:v>
      </x:c>
    </x:row>
    <x:row r="2">
      <x:c r="A2" s="3" t="str">
        <x:v>极值法（驻波法）</x:v>
      </x:c>
      <x:c r="B2" s="3" t="n">
        <x:v>1</x:v>
      </x:c>
      <x:c r="C2" s="7" t="n">
        <x:v>151.322</x:v>
      </x:c>
      <x:c r="D2" s="7"/>
      <x:c r="E2" s="7" t="n">
        <x:v>37.043</x:v>
      </x:c>
      <x:c r="F2" s="3" t="str">
        <x:v>空气中声速</x:v>
      </x:c>
      <x:c r="G2" s="3" t="str">
        <x:v>照片提取</x:v>
      </x:c>
      <x:c r="H2" s="3" t="str">
        <x:v>第1组</x:v>
      </x:c>
    </x:row>
    <x:row r="3">
      <x:c r="A3" s="3" t="str"/>
      <x:c r="B3" s="3" t="n">
        <x:v>2</x:v>
      </x:c>
      <x:c r="C3" s="7" t="n">
        <x:v>156.071</x:v>
      </x:c>
      <x:c r="D3" s="7"/>
      <x:c r="E3" s="7" t="n">
        <x:v>37.043</x:v>
      </x:c>
      <x:c r="F3" s="3" t="str"/>
      <x:c r="G3" s="3" t="str">
        <x:v>照片提取</x:v>
      </x:c>
      <x:c r="H3" s="3" t="str">
        <x:v>第2组</x:v>
      </x:c>
    </x:row>
    <x:row r="4">
      <x:c r="A4" s="3" t="str"/>
      <x:c r="B4" s="3" t="n">
        <x:v>3</x:v>
      </x:c>
      <x:c r="C4" s="7" t="n">
        <x:v>160.711</x:v>
      </x:c>
      <x:c r="D4" s="7"/>
      <x:c r="E4" s="7" t="n">
        <x:v>37.043</x:v>
      </x:c>
      <x:c r="F4" s="3" t="str"/>
      <x:c r="G4" s="3" t="str">
        <x:v>照片提取</x:v>
      </x:c>
      <x:c r="H4" s="3" t="str">
        <x:v>第3组</x:v>
      </x:c>
    </x:row>
    <x:row r="5">
      <x:c r="A5" s="3" t="str"/>
      <x:c r="B5" s="3" t="n">
        <x:v>4</x:v>
      </x:c>
      <x:c r="C5" s="7" t="n">
        <x:v>165.345</x:v>
      </x:c>
      <x:c r="D5" s="7"/>
      <x:c r="E5" s="7" t="n">
        <x:v>37.043</x:v>
      </x:c>
      <x:c r="F5" s="3" t="str"/>
      <x:c r="G5" s="3" t="str">
        <x:v>照片提取</x:v>
      </x:c>
      <x:c r="H5" s="3" t="str">
        <x:v>第4组</x:v>
      </x:c>
    </x:row>
    <x:row r="6">
      <x:c r="A6" s="3" t="str"/>
      <x:c r="B6" s="3" t="n">
        <x:v>5</x:v>
      </x:c>
      <x:c r="C6" s="7" t="n">
        <x:v>169.962</x:v>
      </x:c>
      <x:c r="D6" s="7"/>
      <x:c r="E6" s="7" t="n">
        <x:v>37.043</x:v>
      </x:c>
      <x:c r="F6" s="3" t="str"/>
      <x:c r="G6" s="3" t="str">
        <x:v>照片提取</x:v>
      </x:c>
      <x:c r="H6" s="3" t="str">
        <x:v>第5组</x:v>
      </x:c>
    </x:row>
    <x:row r="7">
      <x:c r="A7" s="3" t="str"/>
      <x:c r="B7" s="3" t="n">
        <x:v>6</x:v>
      </x:c>
      <x:c r="C7" s="7" t="n">
        <x:v>174.978</x:v>
      </x:c>
      <x:c r="D7" s="7"/>
      <x:c r="E7" s="7" t="n">
        <x:v>37.043</x:v>
      </x:c>
      <x:c r="F7" s="3" t="str"/>
      <x:c r="G7" s="3" t="str">
        <x:v>照片提取</x:v>
      </x:c>
      <x:c r="H7" s="3" t="str">
        <x:v>第6组</x:v>
      </x:c>
    </x:row>
    <x:row r="8">
      <x:c r="A8" s="3" t="str"/>
      <x:c r="B8" s="3" t="n">
        <x:v>7</x:v>
      </x:c>
      <x:c r="C8" s="7" t="n">
        <x:v>179.502</x:v>
      </x:c>
      <x:c r="D8" s="7"/>
      <x:c r="E8" s="7" t="n">
        <x:v>37.043</x:v>
      </x:c>
      <x:c r="F8" s="3" t="str"/>
      <x:c r="G8" s="3" t="str">
        <x:v>照片提取</x:v>
      </x:c>
      <x:c r="H8" s="3" t="str">
        <x:v>第7组</x:v>
      </x:c>
    </x:row>
    <x:row r="9">
      <x:c r="A9" s="3" t="str"/>
      <x:c r="B9" s="3" t="n">
        <x:v>8</x:v>
      </x:c>
      <x:c r="C9" s="7" t="n">
        <x:v>184.183</x:v>
      </x:c>
      <x:c r="D9" s="7"/>
      <x:c r="E9" s="7" t="n">
        <x:v>37.043</x:v>
      </x:c>
      <x:c r="F9" s="3" t="str"/>
      <x:c r="G9" s="3" t="str">
        <x:v>照片提取</x:v>
      </x:c>
      <x:c r="H9" s="3" t="str">
        <x:v>第8组</x:v>
      </x:c>
    </x:row>
    <x:row r="10">
      <x:c r="A10" s="3" t="str"/>
      <x:c r="B10" s="3" t="n">
        <x:v>9</x:v>
      </x:c>
      <x:c r="C10" s="7" t="n">
        <x:v>189.039</x:v>
      </x:c>
      <x:c r="D10" s="7"/>
      <x:c r="E10" s="7" t="n">
        <x:v>37.043</x:v>
      </x:c>
      <x:c r="F10" s="3" t="str"/>
      <x:c r="G10" s="3" t="str">
        <x:v>照片提取</x:v>
      </x:c>
      <x:c r="H10" s="3" t="str">
        <x:v>第9组</x:v>
      </x:c>
    </x:row>
    <x:row r="11">
      <x:c r="A11" s="3" t="str"/>
      <x:c r="B11" s="3" t="n">
        <x:v>10</x:v>
      </x:c>
      <x:c r="C11" s="7" t="n">
        <x:v>193.6</x:v>
      </x:c>
      <x:c r="D11" s="7"/>
      <x:c r="E11" s="7" t="n">
        <x:v>37.043</x:v>
      </x:c>
      <x:c r="F11" s="3" t="str"/>
      <x:c r="G11" s="3" t="str">
        <x:v>照片提取</x:v>
      </x:c>
      <x:c r="H11" s="3" t="str">
        <x:v>第10组</x:v>
      </x:c>
    </x:row>
    <x:row r="12">
      <x:c r="A12" s="3" t="str">
        <x:v>相位比较法</x:v>
      </x:c>
      <x:c r="B12" s="3" t="n">
        <x:v>1</x:v>
      </x:c>
      <x:c r="C12" s="7" t="n">
        <x:v>195.328</x:v>
      </x:c>
      <x:c r="D12" s="7"/>
      <x:c r="E12" s="7" t="n">
        <x:v>37.072</x:v>
      </x:c>
      <x:c r="F12" s="3" t="str">
        <x:v>空气中声速</x:v>
      </x:c>
      <x:c r="G12" s="3" t="str">
        <x:v>照片提取</x:v>
      </x:c>
      <x:c r="H12" s="3" t="str">
        <x:v>第1组</x:v>
      </x:c>
    </x:row>
    <x:row r="13">
      <x:c r="A13" s="3" t="str"/>
      <x:c r="B13" s="3" t="n">
        <x:v>2</x:v>
      </x:c>
      <x:c r="C13" s="7" t="n">
        <x:v>190.328</x:v>
      </x:c>
      <x:c r="D13" s="7"/>
      <x:c r="E13" s="7" t="n">
        <x:v>37.072</x:v>
      </x:c>
      <x:c r="F13" s="3" t="str"/>
      <x:c r="G13" s="3" t="str">
        <x:v>照片提取</x:v>
      </x:c>
      <x:c r="H13" s="3" t="str">
        <x:v>第2组</x:v>
      </x:c>
    </x:row>
    <x:row r="14">
      <x:c r="A14" s="3" t="str"/>
      <x:c r="B14" s="3" t="n">
        <x:v>3</x:v>
      </x:c>
      <x:c r="C14" s="7" t="n">
        <x:v>185.65</x:v>
      </x:c>
      <x:c r="D14" s="7"/>
      <x:c r="E14" s="7" t="n">
        <x:v>37.072</x:v>
      </x:c>
      <x:c r="F14" s="3" t="str"/>
      <x:c r="G14" s="3" t="str">
        <x:v>照片提取</x:v>
      </x:c>
      <x:c r="H14" s="3" t="str">
        <x:v>第3组</x:v>
      </x:c>
    </x:row>
    <x:row r="15">
      <x:c r="A15" s="3" t="str"/>
      <x:c r="B15" s="3" t="n">
        <x:v>4</x:v>
      </x:c>
      <x:c r="C15" s="7" t="n">
        <x:v>180.959</x:v>
      </x:c>
      <x:c r="D15" s="7"/>
      <x:c r="E15" s="7" t="n">
        <x:v>37.072</x:v>
      </x:c>
      <x:c r="F15" s="3" t="str"/>
      <x:c r="G15" s="3" t="str">
        <x:v>照片提取</x:v>
      </x:c>
      <x:c r="H15" s="3" t="str">
        <x:v>第4组</x:v>
      </x:c>
    </x:row>
    <x:row r="16">
      <x:c r="A16" s="3" t="str"/>
      <x:c r="B16" s="3" t="n">
        <x:v>5</x:v>
      </x:c>
      <x:c r="C16" s="7" t="n">
        <x:v>176.283</x:v>
      </x:c>
      <x:c r="D16" s="7"/>
      <x:c r="E16" s="7" t="n">
        <x:v>37.072</x:v>
      </x:c>
      <x:c r="F16" s="3" t="str"/>
      <x:c r="G16" s="3" t="str">
        <x:v>照片提取</x:v>
      </x:c>
      <x:c r="H16" s="3" t="str">
        <x:v>第5组</x:v>
      </x:c>
    </x:row>
    <x:row r="17">
      <x:c r="A17" s="3" t="str"/>
      <x:c r="B17" s="3" t="n">
        <x:v>6</x:v>
      </x:c>
      <x:c r="C17" s="7" t="n">
        <x:v>171.451</x:v>
      </x:c>
      <x:c r="D17" s="7"/>
      <x:c r="E17" s="7" t="n">
        <x:v>37.072</x:v>
      </x:c>
      <x:c r="F17" s="3" t="str"/>
      <x:c r="G17" s="3" t="str">
        <x:v>照片提取</x:v>
      </x:c>
      <x:c r="H17" s="3" t="str">
        <x:v>第6组</x:v>
      </x:c>
    </x:row>
    <x:row r="18">
      <x:c r="A18" s="3" t="str"/>
      <x:c r="B18" s="3" t="n">
        <x:v>7</x:v>
      </x:c>
      <x:c r="C18" s="7" t="n">
        <x:v>166.478</x:v>
      </x:c>
      <x:c r="D18" s="7"/>
      <x:c r="E18" s="7" t="n">
        <x:v>37.072</x:v>
      </x:c>
      <x:c r="F18" s="3" t="str"/>
      <x:c r="G18" s="3" t="str">
        <x:v>照片提取</x:v>
      </x:c>
      <x:c r="H18" s="3" t="str">
        <x:v>第7组</x:v>
      </x:c>
    </x:row>
    <x:row r="19">
      <x:c r="A19" s="3" t="str"/>
      <x:c r="B19" s="3" t="n">
        <x:v>8</x:v>
      </x:c>
      <x:c r="C19" s="7" t="n">
        <x:v>161.703</x:v>
      </x:c>
      <x:c r="D19" s="7"/>
      <x:c r="E19" s="7" t="n">
        <x:v>37.072</x:v>
      </x:c>
      <x:c r="F19" s="3" t="str"/>
      <x:c r="G19" s="3" t="str">
        <x:v>照片提取</x:v>
      </x:c>
      <x:c r="H19" s="3" t="str">
        <x:v>第8组</x:v>
      </x:c>
    </x:row>
    <x:row r="20">
      <x:c r="A20" s="3" t="str"/>
      <x:c r="B20" s="3" t="n">
        <x:v>9</x:v>
      </x:c>
      <x:c r="C20" s="7" t="n">
        <x:v>157.521</x:v>
      </x:c>
      <x:c r="D20" s="7"/>
      <x:c r="E20" s="7" t="n">
        <x:v>37.072</x:v>
      </x:c>
      <x:c r="F20" s="3" t="str"/>
      <x:c r="G20" s="3" t="str">
        <x:v>照片提取</x:v>
      </x:c>
      <x:c r="H20" s="3" t="str">
        <x:v>第9组</x:v>
      </x:c>
    </x:row>
    <x:row r="21">
      <x:c r="A21" s="3" t="str"/>
      <x:c r="B21" s="3" t="n">
        <x:v>10</x:v>
      </x:c>
      <x:c r="C21" s="7" t="n">
        <x:v>152.565</x:v>
      </x:c>
      <x:c r="D21" s="7"/>
      <x:c r="E21" s="7" t="n">
        <x:v>37.072</x:v>
      </x:c>
      <x:c r="F21" s="3" t="str"/>
      <x:c r="G21" s="3" t="str">
        <x:v>照片提取</x:v>
      </x:c>
      <x:c r="H21" s="3" t="str">
        <x:v>第10组</x:v>
      </x:c>
    </x:row>
    <x:row r="22">
      <x:c r="A22" s="3" t="str">
        <x:v>时差法</x:v>
      </x:c>
      <x:c r="B22" s="3" t="n">
        <x:v>1</x:v>
      </x:c>
      <x:c r="C22" s="7" t="n">
        <x:v>150</x:v>
      </x:c>
      <x:c r="D22" s="7" t="n">
        <x:v>460</x:v>
      </x:c>
      <x:c r="E22" s="7"/>
      <x:c r="F22" s="3" t="str">
        <x:v>空气中声速</x:v>
      </x:c>
      <x:c r="G22" s="3" t="str">
        <x:v>照片提取</x:v>
      </x:c>
      <x:c r="H22" s="3" t="str">
        <x:v>第1组</x:v>
      </x:c>
    </x:row>
    <x:row r="23">
      <x:c r="A23" s="3" t="str"/>
      <x:c r="B23" s="3" t="n">
        <x:v>2</x:v>
      </x:c>
      <x:c r="C23" s="7" t="n">
        <x:v>160</x:v>
      </x:c>
      <x:c r="D23" s="7" t="n">
        <x:v>488</x:v>
      </x:c>
      <x:c r="E23" s="7"/>
      <x:c r="F23" s="3" t="str"/>
      <x:c r="G23" s="3" t="str">
        <x:v>照片提取</x:v>
      </x:c>
      <x:c r="H23" s="3" t="str">
        <x:v>第2组</x:v>
      </x:c>
    </x:row>
    <x:row r="24">
      <x:c r="A24" s="3" t="str"/>
      <x:c r="B24" s="3" t="n">
        <x:v>3</x:v>
      </x:c>
      <x:c r="C24" s="7" t="n">
        <x:v>170</x:v>
      </x:c>
      <x:c r="D24" s="7" t="n">
        <x:v>516</x:v>
      </x:c>
      <x:c r="E24" s="7"/>
      <x:c r="F24" s="3" t="str"/>
      <x:c r="G24" s="3" t="str">
        <x:v>照片提取</x:v>
      </x:c>
      <x:c r="H24" s="3" t="str">
        <x:v>第3组</x:v>
      </x:c>
    </x:row>
    <x:row r="25">
      <x:c r="A25" s="3" t="str"/>
      <x:c r="B25" s="3" t="n">
        <x:v>4</x:v>
      </x:c>
      <x:c r="C25" s="7" t="n">
        <x:v>180</x:v>
      </x:c>
      <x:c r="D25" s="7" t="n">
        <x:v>546</x:v>
      </x:c>
      <x:c r="E25" s="7"/>
      <x:c r="F25" s="3" t="str"/>
      <x:c r="G25" s="3" t="str">
        <x:v>照片提取</x:v>
      </x:c>
      <x:c r="H25" s="3" t="str">
        <x:v>第4组</x:v>
      </x:c>
    </x:row>
    <x:row r="26">
      <x:c r="A26" s="3" t="str"/>
      <x:c r="B26" s="3" t="n">
        <x:v>5</x:v>
      </x:c>
      <x:c r="C26" s="7" t="n">
        <x:v>190</x:v>
      </x:c>
      <x:c r="D26" s="7" t="n">
        <x:v>575</x:v>
      </x:c>
      <x:c r="E26" s="7"/>
      <x:c r="F26" s="3" t="str"/>
      <x:c r="G26" s="3" t="str">
        <x:v>照片提取</x:v>
      </x:c>
      <x:c r="H26" s="3" t="str">
        <x:v>第5组</x:v>
      </x:c>
    </x:row>
    <x:row r="27">
      <x:c r="A27" s="3" t="str"/>
      <x:c r="B27" s="3" t="n">
        <x:v>6</x:v>
      </x:c>
      <x:c r="C27" s="7" t="n">
        <x:v>200</x:v>
      </x:c>
      <x:c r="D27" s="7" t="n">
        <x:v>604</x:v>
      </x:c>
      <x:c r="E27" s="7"/>
      <x:c r="F27" s="3" t="str"/>
      <x:c r="G27" s="3" t="str">
        <x:v>照片提取</x:v>
      </x:c>
      <x:c r="H27" s="3" t="str">
        <x:v>第6组</x:v>
      </x:c>
    </x:row>
    <x:row r="28">
      <x:c r="A28" s="3" t="str"/>
      <x:c r="B28" s="3" t="n">
        <x:v>7</x:v>
      </x:c>
      <x:c r="C28" s="7" t="n">
        <x:v>210</x:v>
      </x:c>
      <x:c r="D28" s="7" t="n">
        <x:v>631</x:v>
      </x:c>
      <x:c r="E28" s="7"/>
      <x:c r="F28" s="3" t="str"/>
      <x:c r="G28" s="3" t="str">
        <x:v>照片提取</x:v>
      </x:c>
      <x:c r="H28" s="3" t="str">
        <x:v>第7组</x:v>
      </x:c>
    </x:row>
    <x:row r="29">
      <x:c r="A29" s="3" t="str"/>
      <x:c r="B29" s="3" t="n">
        <x:v>8</x:v>
      </x:c>
      <x:c r="C29" s="7" t="n">
        <x:v>220</x:v>
      </x:c>
      <x:c r="D29" s="7" t="n">
        <x:v>658</x:v>
      </x:c>
      <x:c r="E29" s="7"/>
      <x:c r="F29" s="3" t="str"/>
      <x:c r="G29" s="3" t="str">
        <x:v>照片提取</x:v>
      </x:c>
      <x:c r="H29" s="3" t="str">
        <x:v>第8组</x:v>
      </x:c>
    </x:row>
    <x:row r="30">
      <x:c r="A30" s="3" t="str"/>
      <x:c r="B30" s="3" t="n">
        <x:v>9</x:v>
      </x:c>
      <x:c r="C30" s="7" t="n">
        <x:v>140</x:v>
      </x:c>
      <x:c r="D30" s="7" t="n">
        <x:v>431</x:v>
      </x:c>
      <x:c r="E30" s="7"/>
      <x:c r="F30" s="3" t="str">
        <x:v>图中可辨读值</x:v>
      </x:c>
      <x:c r="G30" s="3" t="str">
        <x:v>照片提取</x:v>
      </x:c>
      <x:c r="H30" s="3" t="str">
        <x:v>第9组</x:v>
      </x:c>
    </x:row>
    <x:row r="31">
      <x:c r="A31" s="3" t="str"/>
      <x:c r="B31" s="3" t="n">
        <x:v>10</x:v>
      </x:c>
      <x:c r="C31" s="7" t="n">
        <x:v>130</x:v>
      </x:c>
      <x:c r="D31" s="7" t="n">
        <x:v>404</x:v>
      </x:c>
      <x:c r="E31" s="7"/>
      <x:c r="F31" s="3" t="str"/>
      <x:c r="G31" s="3" t="str">
        <x:v>照片提取</x:v>
      </x:c>
      <x:c r="H31" s="3" t="str">
        <x:v>第10组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.520000457763672" hidden="0" customWidth="1"/>
    <x:col min="2" max="2" width="12.109999656677246" hidden="0" customWidth="1"/>
    <x:col min="3" max="3" width="12.109999656677246" hidden="0" customWidth="1"/>
    <x:col min="4" max="4" width="12.109999656677246" hidden="0" customWidth="1"/>
    <x:col min="5" max="5" width="12.109999656677246" hidden="0" customWidth="1"/>
    <x:col min="6" max="6" width="12.109999656677246" hidden="0" customWidth="1"/>
    <x:col min="7" max="7" width="14.800000190734863" hidden="0" customWidth="1"/>
    <x:col min="8" max="8" width="12.109999656677246" hidden="0" customWidth="1"/>
    <x:col min="9" max="9" width="12.109999656677246" hidden="0" customWidth="1"/>
    <x:col min="10" max="10" width="12.109999656677246" hidden="0" customWidth="1"/>
    <x:col min="11" max="11" width="12.109999656677246" hidden="0" customWidth="1"/>
    <x:col min="12" max="12" width="12.109999656677246" hidden="0" customWidth="1"/>
    <x:col min="13" max="13" width="24.899999618530273" hidden="0" customWidth="1"/>
  </x:cols>
  <x:sheetData>
    <x:row r="1">
      <x:c r="A1" s="10" t="str">
        <x:v>方法</x:v>
      </x:c>
      <x:c r="B1" s="10" t="str">
        <x:v>Δl1(mm)</x:v>
      </x:c>
      <x:c r="C1" s="10" t="str">
        <x:v>Δl2(mm)</x:v>
      </x:c>
      <x:c r="D1" s="10" t="str">
        <x:v>Δl3(mm)</x:v>
      </x:c>
      <x:c r="E1" s="10" t="str">
        <x:v>Δl4(mm)</x:v>
      </x:c>
      <x:c r="F1" s="10" t="str">
        <x:v>Δl5(mm)</x:v>
      </x:c>
      <x:c r="G1" s="10" t="str">
        <x:v>平均Δl(mm)</x:v>
      </x:c>
      <x:c r="H1" s="10" t="str">
        <x:v>Δt1(μs)</x:v>
      </x:c>
      <x:c r="I1" s="10" t="str">
        <x:v>Δt2(μs)</x:v>
      </x:c>
      <x:c r="J1" s="10" t="str">
        <x:v>Δt3(μs)</x:v>
      </x:c>
      <x:c r="K1" s="10" t="str">
        <x:v>Δt4(μs)</x:v>
      </x:c>
      <x:c r="L1" s="10" t="str">
        <x:v>Δt5(μs)</x:v>
      </x:c>
      <x:c r="M1" s="10" t="str">
        <x:v>备注</x:v>
      </x:c>
    </x:row>
    <x:row r="2">
      <x:c r="A2" s="3" t="str">
        <x:v>极值法（驻波法）</x:v>
      </x:c>
      <x:c r="B2" s="7" t="n">
        <x:f>ABS(RawData!C7-RawData!C2)</x:f>
        <x:v>23.656000000000006</x:v>
      </x:c>
      <x:c r="C2" s="7" t="n">
        <x:f>ABS(RawData!C8-RawData!C3)</x:f>
        <x:v>23.43100000000001</x:v>
      </x:c>
      <x:c r="D2" s="7" t="n">
        <x:f>ABS(RawData!C9-RawData!C4)</x:f>
        <x:v>23.47199999999998</x:v>
      </x:c>
      <x:c r="E2" s="7" t="n">
        <x:f>ABS(RawData!C10-RawData!C5)</x:f>
        <x:v>23.69399999999999</x:v>
      </x:c>
      <x:c r="F2" s="7" t="n">
        <x:f>ABS(RawData!C11-RawData!C6)</x:f>
        <x:v>23.638000000000005</x:v>
      </x:c>
      <x:c r="G2" s="7" t="n">
        <x:f>AVERAGE(B2:F2)</x:f>
        <x:v>23.5782</x:v>
      </x:c>
      <x:c r="H2" s="7"/>
      <x:c r="I2" s="7"/>
      <x:c r="J2" s="7"/>
      <x:c r="K2" s="7"/>
      <x:c r="L2" s="7"/>
      <x:c r="M2" s="3" t="str">
        <x:v>前5个位置与后5个位置配对逐差</x:v>
      </x:c>
    </x:row>
    <x:row r="3">
      <x:c r="A3" s="3" t="str">
        <x:v>相位比较法</x:v>
      </x:c>
      <x:c r="B3" s="7" t="n">
        <x:f>ABS(RawData!C17-RawData!C12)</x:f>
        <x:v>23.87700000000001</x:v>
      </x:c>
      <x:c r="C3" s="7" t="n">
        <x:f>ABS(RawData!C18-RawData!C13)</x:f>
        <x:v>23.849999999999994</x:v>
      </x:c>
      <x:c r="D3" s="7" t="n">
        <x:f>ABS(RawData!C19-RawData!C14)</x:f>
        <x:v>23.947000000000003</x:v>
      </x:c>
      <x:c r="E3" s="7" t="n">
        <x:f>ABS(RawData!C20-RawData!C15)</x:f>
        <x:v>23.438000000000017</x:v>
      </x:c>
      <x:c r="F3" s="7" t="n">
        <x:f>ABS(RawData!C21-RawData!C16)</x:f>
        <x:v>23.71799999999999</x:v>
      </x:c>
      <x:c r="G3" s="7" t="n">
        <x:f>AVERAGE(B3:F3)</x:f>
        <x:v>23.766000000000002</x:v>
      </x:c>
      <x:c r="H3" s="7"/>
      <x:c r="I3" s="7"/>
      <x:c r="J3" s="7"/>
      <x:c r="K3" s="7"/>
      <x:c r="L3" s="7"/>
      <x:c r="M3" s="3" t="str">
        <x:v>前5个位置与后5个位置配对逐差</x:v>
      </x:c>
    </x:row>
    <x:row r="4">
      <x:c r="A4" s="3" t="str">
        <x:v>时差法</x:v>
      </x:c>
      <x:c r="B4" s="7" t="n">
        <x:f>ABS(RawData!C27-RawData!C22)</x:f>
        <x:v>50</x:v>
      </x:c>
      <x:c r="C4" s="7" t="n">
        <x:f>ABS(RawData!C28-RawData!C23)</x:f>
        <x:v>50</x:v>
      </x:c>
      <x:c r="D4" s="7" t="n">
        <x:f>ABS(RawData!C29-RawData!C24)</x:f>
        <x:v>50</x:v>
      </x:c>
      <x:c r="E4" s="7" t="n">
        <x:f>ABS(RawData!C30-RawData!C25)</x:f>
        <x:v>40</x:v>
      </x:c>
      <x:c r="F4" s="7" t="n">
        <x:f>ABS(RawData!C31-RawData!C26)</x:f>
        <x:v>60</x:v>
      </x:c>
      <x:c r="G4" s="7" t="n">
        <x:f>AVERAGE(B4:F4)</x:f>
        <x:v>50</x:v>
      </x:c>
      <x:c r="H4" s="7" t="n">
        <x:f>ABS(RawData!D27-RawData!D22)</x:f>
        <x:v>144</x:v>
      </x:c>
      <x:c r="I4" s="7" t="n">
        <x:f>ABS(RawData!D28-RawData!D23)</x:f>
        <x:v>143</x:v>
      </x:c>
      <x:c r="J4" s="7" t="n">
        <x:f>ABS(RawData!D29-RawData!D24)</x:f>
        <x:v>142</x:v>
      </x:c>
      <x:c r="K4" s="7" t="n">
        <x:f>ABS(RawData!D30-RawData!D25)</x:f>
        <x:v>115</x:v>
      </x:c>
      <x:c r="L4" s="7" t="n">
        <x:f>ABS(RawData!D31-RawData!D26)</x:f>
        <x:v>171</x:v>
      </x:c>
      <x:c r="M4" s="3" t="str">
        <x:v>同时计算Δl和Δt，取Δl/Δt平均</x:v>
      </x:c>
    </x:row>
    <x:row r="5">
      <x:c r="A5" s="3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3"/>
    </x:row>
    <x:row r="6">
      <x:c r="A6" s="13" t="str">
        <x:v>方法</x:v>
      </x:c>
      <x:c r="B6" s="14" t="str">
        <x:v>波长 λ (mm)</x:v>
      </x:c>
      <x:c r="C6" s="14" t="str">
        <x:v>频率 f (kHz)</x:v>
      </x:c>
      <x:c r="D6" s="14" t="str">
        <x:v>测得声速 v (m/s)</x:v>
      </x:c>
      <x:c r="E6" s="14" t="str">
        <x:v>理论值 v_t (m/s)</x:v>
      </x:c>
      <x:c r="F6" s="14" t="str">
        <x:v>相对误差</x:v>
      </x:c>
      <x:c r="G6" s="14" t="str">
        <x:v>计算式</x:v>
      </x:c>
      <x:c r="H6" s="7"/>
      <x:c r="I6" s="7"/>
      <x:c r="J6" s="7"/>
      <x:c r="K6" s="7"/>
      <x:c r="L6" s="7"/>
      <x:c r="M6" s="3"/>
    </x:row>
    <x:row r="7">
      <x:c r="A7" s="3" t="str">
        <x:v>极值法（驻波法）</x:v>
      </x:c>
      <x:c r="B7" s="7" t="n">
        <x:f>2*G2/5</x:f>
        <x:v>9.43128</x:v>
      </x:c>
      <x:c r="C7" s="7" t="n">
        <x:f>RawData!E2</x:f>
        <x:v>37.043</x:v>
      </x:c>
      <x:c r="D7" s="7" t="n">
        <x:f>B7*C7</x:f>
        <x:v>349.36290504</x:v>
      </x:c>
      <x:c r="E7" s="7" t="n">
        <x:f>331.3+0.606*25</x:f>
        <x:v>346.45</x:v>
      </x:c>
      <x:c r="F7" s="15" t="n">
        <x:f>ABS(D7-E7)/E7</x:f>
        <x:v>0.008407865608312883</x:v>
      </x:c>
      <x:c r="G7" s="7" t="str">
        <x:v>λ=2×平均Δl/5，v=λf</x:v>
      </x:c>
      <x:c r="H7" s="7"/>
      <x:c r="I7" s="7"/>
      <x:c r="J7" s="7"/>
      <x:c r="K7" s="7"/>
      <x:c r="L7" s="7"/>
      <x:c r="M7" s="3"/>
    </x:row>
    <x:row r="8">
      <x:c r="A8" s="3" t="str">
        <x:v>相位比较法</x:v>
      </x:c>
      <x:c r="B8" s="7" t="n">
        <x:f>2*G3/5</x:f>
        <x:v>9.506400000000001</x:v>
      </x:c>
      <x:c r="C8" s="7" t="n">
        <x:f>RawData!E12</x:f>
        <x:v>37.072</x:v>
      </x:c>
      <x:c r="D8" s="7" t="n">
        <x:f>B8*C8</x:f>
        <x:v>352.4212608000001</x:v>
      </x:c>
      <x:c r="E8" s="7" t="n">
        <x:f>331.3+0.606*25</x:f>
        <x:v>346.45</x:v>
      </x:c>
      <x:c r="F8" s="15" t="n">
        <x:f>ABS(D8-E8)/E8</x:f>
        <x:v>0.01723556299610361</x:v>
      </x:c>
      <x:c r="G8" s="7" t="str">
        <x:v>λ=2×平均Δl/5，v=λf</x:v>
      </x:c>
      <x:c r="H8" s="7"/>
      <x:c r="I8" s="7"/>
      <x:c r="J8" s="7"/>
      <x:c r="K8" s="7"/>
      <x:c r="L8" s="7"/>
      <x:c r="M8" s="3"/>
    </x:row>
    <x:row r="9">
      <x:c r="A9" s="3" t="str">
        <x:v>时差法</x:v>
      </x:c>
      <x:c r="B9" s="7"/>
      <x:c r="C9" s="7"/>
      <x:c r="D9" s="7" t="n">
        <x:f>AVERAGE(B4/H4,C4/I4,D4/J4,E4/K4,F4/L4)*1000</x:f>
        <x:v>349.53770557357757</x:v>
      </x:c>
      <x:c r="E9" s="7" t="n">
        <x:f>331.3+0.606*25</x:f>
        <x:v>346.45</x:v>
      </x:c>
      <x:c r="F9" s="15" t="n">
        <x:f>ABS(D9-E9)/E9</x:f>
        <x:v>0.008912413258991427</x:v>
      </x:c>
      <x:c r="G9" s="7" t="str">
        <x:v>v=平均(Δl/Δt)×1000</x:v>
      </x:c>
      <x:c r="H9" s="7"/>
      <x:c r="I9" s="7"/>
      <x:c r="J9" s="7"/>
      <x:c r="K9" s="7"/>
      <x:c r="L9" s="7"/>
      <x:c r="M9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.549999237060547" hidden="0" customWidth="1"/>
    <x:col min="2" max="2" width="20.860000610351562" hidden="0" customWidth="1"/>
    <x:col min="3" max="3" width="15.479999542236328" hidden="0" customWidth="1"/>
    <x:col min="4" max="4" width="15.479999542236328" hidden="0" customWidth="1"/>
  </x:cols>
  <x:sheetData>
    <x:row r="1">
      <x:c r="A1" s="18" t="str">
        <x:v>方法</x:v>
      </x:c>
      <x:c r="B1" s="18" t="str">
        <x:v>测得声速 (m/s)</x:v>
      </x:c>
      <x:c r="C1" s="18" t="str">
        <x:v>理论值 (m/s)</x:v>
      </x:c>
      <x:c r="D1" s="18" t="str">
        <x:v>相对误差</x:v>
      </x:c>
    </x:row>
    <x:row r="2">
      <x:c r="A2" s="3" t="str">
        <x:f>DifferenceCalc!A7</x:f>
        <x:v>极值法（驻波法）</x:v>
      </x:c>
      <x:c r="B2" s="7" t="n">
        <x:f>DifferenceCalc!D7</x:f>
        <x:v>349.36290504</x:v>
      </x:c>
      <x:c r="C2" s="7" t="n">
        <x:f>DifferenceCalc!E7</x:f>
        <x:v>346.45</x:v>
      </x:c>
      <x:c r="D2" s="15" t="n">
        <x:f>DifferenceCalc!F7</x:f>
        <x:v>0.008407865608312883</x:v>
      </x:c>
    </x:row>
    <x:row r="3">
      <x:c r="A3" s="3" t="str">
        <x:f>DifferenceCalc!A8</x:f>
        <x:v>相位比较法</x:v>
      </x:c>
      <x:c r="B3" s="7" t="n">
        <x:f>DifferenceCalc!D8</x:f>
        <x:v>352.4212608000001</x:v>
      </x:c>
      <x:c r="C3" s="7" t="n">
        <x:f>DifferenceCalc!E8</x:f>
        <x:v>346.45</x:v>
      </x:c>
      <x:c r="D3" s="15" t="n">
        <x:f>DifferenceCalc!F8</x:f>
        <x:v>0.01723556299610361</x:v>
      </x:c>
    </x:row>
    <x:row r="4">
      <x:c r="A4" s="3" t="str">
        <x:f>DifferenceCalc!A9</x:f>
        <x:v>时差法</x:v>
      </x:c>
      <x:c r="B4" s="7" t="n">
        <x:f>DifferenceCalc!D9</x:f>
        <x:v>349.53770557357757</x:v>
      </x:c>
      <x:c r="C4" s="7" t="n">
        <x:f>DifferenceCalc!E9</x:f>
        <x:v>346.45</x:v>
      </x:c>
      <x:c r="D4" s="15" t="n">
        <x:f>DifferenceCalc!F9</x:f>
        <x:v>0.008912413258991427</x:v>
      </x:c>
    </x:row>
    <x:row r="5">
      <x:c r="A5" s="3"/>
      <x:c r="B5" s="3"/>
      <x:c r="C5" s="3"/>
      <x:c r="D5" s="3"/>
    </x:row>
    <x:row r="6">
      <x:c r="A6" s="3" t="str">
        <x:v>室温 t (°C)</x:v>
      </x:c>
      <x:c r="B6" s="3" t="n">
        <x:v>25</x:v>
      </x:c>
      <x:c r="C6" s="3"/>
      <x:c r="D6" s="3"/>
    </x:row>
    <x:row r="7">
      <x:c r="A7" s="3" t="str">
        <x:v>理论公式</x:v>
      </x:c>
      <x:c r="B7" s="3" t="str">
        <x:v>v_t=331.3+0.606t</x:v>
      </x:c>
      <x:c r="C7" s="3"/>
      <x:c r="D7" s="3"/>
    </x:row>
    <x:row r="8">
      <x:c r="A8" s="3" t="str">
        <x:v>逐差法说明</x:v>
      </x:c>
      <x:c r="B8" s="3" t="str">
        <x:v>极值法/相位比较法：第1-5次与第6-10次配对；时差法：同样配对求Δl、Δt。</x:v>
      </x:c>
      <x:c r="C8" s="3"/>
      <x:c r="D8" s="3"/>
    </x:row>
    <x:row r="9">
      <x:c r="A9" s="3" t="str">
        <x:v>未计算项</x:v>
      </x:c>
      <x:c r="B9" s="3" t="str">
        <x:v>波形移动法和固体中声速表格为空。</x:v>
      </x:c>
      <x:c r="C9" s="3"/>
      <x:c r="D9" s="3"/>
    </x:row>
  </x:sheetData>
  <x:pageMargins left="0.7" right="0.7" top="0.75" bottom="0.75" header="0.3" footer="0.3"/>
</x:worksheet>
</file>